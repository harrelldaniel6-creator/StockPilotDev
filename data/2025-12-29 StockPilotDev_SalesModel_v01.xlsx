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ockPilotSafe\Excel Files\"/>
    </mc:Choice>
  </mc:AlternateContent>
  <xr:revisionPtr revIDLastSave="0" documentId="8_{9302B642-2D90-4C81-BEB1-5BEE56DEE89E}" xr6:coauthVersionLast="47" xr6:coauthVersionMax="47" xr10:uidLastSave="{00000000-0000-0000-0000-000000000000}"/>
  <bookViews>
    <workbookView xWindow="11424" yWindow="0" windowWidth="11712" windowHeight="12336" activeTab="1" xr2:uid="{8094612A-B2C1-4F0D-8A2E-B114F19F6C92}"/>
  </bookViews>
  <sheets>
    <sheet name="Raw Data" sheetId="1" r:id="rId1"/>
    <sheet name="Calculat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1" i="2"/>
  <c r="B13" i="2"/>
  <c r="B12" i="2"/>
  <c r="D3" i="2"/>
  <c r="D5" i="2"/>
  <c r="D4" i="2"/>
  <c r="D6" i="2"/>
  <c r="D7" i="2"/>
  <c r="D8" i="2"/>
  <c r="D9" i="2"/>
  <c r="D2" i="2"/>
  <c r="C3" i="2"/>
  <c r="C5" i="2"/>
  <c r="C4" i="2"/>
  <c r="C6" i="2"/>
  <c r="C7" i="2"/>
  <c r="C8" i="2"/>
  <c r="C9" i="2"/>
  <c r="C2" i="2"/>
  <c r="B3" i="2"/>
  <c r="B5" i="2"/>
  <c r="B4" i="2"/>
  <c r="B6" i="2"/>
  <c r="B7" i="2"/>
  <c r="B8" i="2"/>
  <c r="E9" i="2" s="1"/>
  <c r="B9" i="2"/>
  <c r="B2" i="2"/>
  <c r="A3" i="2"/>
  <c r="A5" i="2"/>
  <c r="A4" i="2"/>
  <c r="A6" i="2"/>
  <c r="A7" i="2"/>
  <c r="A8" i="2"/>
  <c r="A9" i="2"/>
  <c r="A2" i="2"/>
  <c r="F9" i="2" l="1"/>
  <c r="E5" i="2"/>
  <c r="E4" i="2"/>
  <c r="E6" i="2"/>
  <c r="E7" i="2"/>
  <c r="E8" i="2"/>
  <c r="F4" i="2"/>
  <c r="F6" i="2"/>
  <c r="F8" i="2"/>
  <c r="F7" i="2"/>
  <c r="F2" i="2"/>
  <c r="F3" i="2"/>
  <c r="F5" i="2"/>
  <c r="E2" i="2"/>
  <c r="E3" i="2"/>
  <c r="I3" i="2" l="1"/>
  <c r="I2" i="2"/>
  <c r="G9" i="2" l="1"/>
  <c r="G2" i="2"/>
  <c r="G3" i="2"/>
  <c r="G8" i="2"/>
  <c r="G7" i="2"/>
  <c r="G6" i="2"/>
  <c r="G4" i="2"/>
  <c r="G5" i="2"/>
</calcChain>
</file>

<file path=xl/sharedStrings.xml><?xml version="1.0" encoding="utf-8"?>
<sst xmlns="http://schemas.openxmlformats.org/spreadsheetml/2006/main" count="27" uniqueCount="23">
  <si>
    <t>Item Name</t>
  </si>
  <si>
    <t>Selling Price</t>
  </si>
  <si>
    <t>Cost of Goods Sold</t>
  </si>
  <si>
    <t>Quantity Sold</t>
  </si>
  <si>
    <t>Burger</t>
  </si>
  <si>
    <t>Fries</t>
  </si>
  <si>
    <t>Lobster Roll</t>
  </si>
  <si>
    <t>Soda</t>
  </si>
  <si>
    <t>Side Salad</t>
  </si>
  <si>
    <t>Filet Mignon</t>
  </si>
  <si>
    <t>Fish Tacos</t>
  </si>
  <si>
    <t>Brownie</t>
  </si>
  <si>
    <t>Item CM</t>
  </si>
  <si>
    <t>Item Pop %</t>
  </si>
  <si>
    <t>Quadrant Label</t>
  </si>
  <si>
    <t>Average CM</t>
  </si>
  <si>
    <t>Avg Pop %:</t>
  </si>
  <si>
    <t>Column1</t>
  </si>
  <si>
    <t>Column2</t>
  </si>
  <si>
    <t>TOTALS</t>
  </si>
  <si>
    <t>Total Revenue</t>
  </si>
  <si>
    <t>Total COGS</t>
  </si>
  <si>
    <t>Total COGS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</si>
</sst>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8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Menu Engineering Matrix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BA3-4A0C-A2C9-DD18B1175B8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8BEADD8-62A5-41B7-ACB9-9F9ADC67F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BA3-4A0C-A2C9-DD18B1175B8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8565199-9066-48CE-AE41-B8892A4567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BA3-4A0C-A2C9-DD18B1175B8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346D5C4-5967-4D4A-910B-20D6BCF5EE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BA3-4A0C-A2C9-DD18B1175B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'Calculated Data'!$E$2:$E$4</c:f>
              <c:numCache>
                <c:formatCode>General</c:formatCode>
                <c:ptCount val="3"/>
                <c:pt idx="0">
                  <c:v>10.5</c:v>
                </c:pt>
                <c:pt idx="1">
                  <c:v>10.5</c:v>
                </c:pt>
                <c:pt idx="2">
                  <c:v>14</c:v>
                </c:pt>
              </c:numCache>
            </c:numRef>
          </c:xVal>
          <c:yVal>
            <c:numRef>
              <c:f>'Calculated Data'!$F$2:$F$4</c:f>
              <c:numCache>
                <c:formatCode>General</c:formatCode>
                <c:ptCount val="3"/>
                <c:pt idx="0">
                  <c:v>18.320610687022899</c:v>
                </c:pt>
                <c:pt idx="1">
                  <c:v>16.793893129770993</c:v>
                </c:pt>
                <c:pt idx="2">
                  <c:v>22.900763358778626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'Calculated Data'!$A$2:$A$4</c15:f>
                <c15:dlblRangeCache>
                  <c:ptCount val="3"/>
                  <c:pt idx="0">
                    <c:v>Burger</c:v>
                  </c:pt>
                  <c:pt idx="1">
                    <c:v>Fries</c:v>
                  </c:pt>
                  <c:pt idx="2">
                    <c:v>Soda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DBA3-4A0C-A2C9-DD18B1175B8D}"/>
            </c:ext>
          </c:extLst>
        </c:ser>
        <c:ser>
          <c:idx val="1"/>
          <c:order val="1"/>
          <c:tx>
            <c:v>Dogs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06A2FBB-D8C3-4622-AD66-41FC2D5080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BA3-4A0C-A2C9-DD18B1175B8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52100B1-54FF-4A68-B8F8-1BBF654602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BA3-4A0C-A2C9-DD18B1175B8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6F62B4E-B129-40BB-ADA4-1E9FA18DF2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BA3-4A0C-A2C9-DD18B1175B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'Calculated Data'!$E$5:$E$7</c:f>
              <c:numCache>
                <c:formatCode>General</c:formatCode>
                <c:ptCount val="3"/>
                <c:pt idx="0">
                  <c:v>4</c:v>
                </c:pt>
                <c:pt idx="1">
                  <c:v>2.75</c:v>
                </c:pt>
                <c:pt idx="2">
                  <c:v>3.5</c:v>
                </c:pt>
              </c:numCache>
            </c:numRef>
          </c:xVal>
          <c:yVal>
            <c:numRef>
              <c:f>'Calculated Data'!$F$5:$F$7</c:f>
              <c:numCache>
                <c:formatCode>General</c:formatCode>
                <c:ptCount val="3"/>
                <c:pt idx="0">
                  <c:v>6.106870229007634</c:v>
                </c:pt>
                <c:pt idx="1">
                  <c:v>4.5801526717557248</c:v>
                </c:pt>
                <c:pt idx="2">
                  <c:v>7.6335877862595423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'Calculated Data'!$A$5:$A$7</c15:f>
                <c15:dlblRangeCache>
                  <c:ptCount val="3"/>
                  <c:pt idx="0">
                    <c:v>Lobster Roll</c:v>
                  </c:pt>
                  <c:pt idx="1">
                    <c:v>Side Salad</c:v>
                  </c:pt>
                  <c:pt idx="2">
                    <c:v>Filet Mignon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DBA3-4A0C-A2C9-DD18B1175B8D}"/>
            </c:ext>
          </c:extLst>
        </c:ser>
        <c:ser>
          <c:idx val="2"/>
          <c:order val="2"/>
          <c:tx>
            <c:v>Puzzle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7DC6A40-5A5D-413C-9B2B-0FBA7EC54B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BA3-4A0C-A2C9-DD18B1175B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'Calculated Data'!$E$8</c:f>
              <c:numCache>
                <c:formatCode>General</c:formatCode>
                <c:ptCount val="1"/>
                <c:pt idx="0">
                  <c:v>23</c:v>
                </c:pt>
              </c:numCache>
            </c:numRef>
          </c:xVal>
          <c:yVal>
            <c:numRef>
              <c:f>'Calculated Data'!$F$8</c:f>
              <c:numCache>
                <c:formatCode>General</c:formatCode>
                <c:ptCount val="1"/>
                <c:pt idx="0">
                  <c:v>10.687022900763358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'Calculated Data'!$A$8</c15:f>
                <c15:dlblRangeCache>
                  <c:ptCount val="1"/>
                  <c:pt idx="0">
                    <c:v>Fish Tacos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DBA3-4A0C-A2C9-DD18B1175B8D}"/>
            </c:ext>
          </c:extLst>
        </c:ser>
        <c:ser>
          <c:idx val="4"/>
          <c:order val="3"/>
          <c:tx>
            <c:v>Avg Popularity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'Calculated Data'!$A$1:$B$1</c:f>
              <c:strCache>
                <c:ptCount val="2"/>
                <c:pt idx="0">
                  <c:v>Item Name</c:v>
                </c:pt>
                <c:pt idx="1">
                  <c:v>Selling Price</c:v>
                </c:pt>
              </c:strCache>
            </c:strRef>
          </c:xVal>
          <c:yVal>
            <c:numRef>
              <c:f>'Calculated Data'!$I$3</c:f>
              <c:numCache>
                <c:formatCode>General</c:formatCode>
                <c:ptCount val="1"/>
                <c:pt idx="0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BA3-4A0C-A2C9-DD18B1175B8D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53948496"/>
        <c:axId val="153944176"/>
      </c:scatterChart>
      <c:valAx>
        <c:axId val="15394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Contribution Margin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44176"/>
        <c:crosses val="autoZero"/>
        <c:crossBetween val="midCat"/>
      </c:valAx>
      <c:valAx>
        <c:axId val="15394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Popularity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4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15239</xdr:colOff>
      <xdr:row>0</xdr:row>
      <xdr:rowOff>19050</xdr:rowOff>
    </xdr:from>
    <xdr:to>
      <xdr:col>23</xdr:col>
      <xdr:colOff>600074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26C5E-750D-DF32-F5E9-3BBF86334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AFB11-4DC0-450E-8E28-E2A398141DFB}" name="Table1" displayName="Table1" ref="A1:D9" totalsRowShown="0">
  <autoFilter ref="A1:D9" xr:uid="{FB9AFB11-4DC0-450E-8E28-E2A398141DFB}"/>
  <tableColumns count="4">
    <tableColumn id="1" xr3:uid="{B45C2184-5F35-43FF-B5FC-0BE23412EC69}" name="Item Name"/>
    <tableColumn id="2" xr3:uid="{FED151B3-DBD2-4E7D-A257-C9567B65D010}" name="Selling Price"/>
    <tableColumn id="3" xr3:uid="{70A59A84-A288-4E2C-899E-462AC064E2D8}" name="Cost of Goods Sold"/>
    <tableColumn id="4" xr3:uid="{03F99DF5-0745-4930-955A-A2D320497438}" name="Quantity Sold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5BFCE9-F6BF-475B-8212-71D57E1D67D8}" name="Table2" displayName="Table2" ref="A1:I9" totalsRowShown="0">
  <autoFilter ref="A1:I9" xr:uid="{355BFCE9-F6BF-475B-8212-71D57E1D67D8}"/>
  <tableColumns count="9">
    <tableColumn id="1" xr3:uid="{DC12B18D-7803-425C-9112-8EDF5B382365}" name="Item Name">
      <calculatedColumnFormula>'Raw Data'!A2</calculatedColumnFormula>
    </tableColumn>
    <tableColumn id="2" xr3:uid="{2AAB3A4F-7377-43F6-BBC6-CB20FA362521}" name="Selling Price">
      <calculatedColumnFormula>'Raw Data'!B2</calculatedColumnFormula>
    </tableColumn>
    <tableColumn id="3" xr3:uid="{1C590E10-1AB9-45E8-9808-C4F95D8FD336}" name="Cost of Goods Sold">
      <calculatedColumnFormula>'Raw Data'!C2</calculatedColumnFormula>
    </tableColumn>
    <tableColumn id="4" xr3:uid="{555A9C68-A378-45B4-856E-0CD4D3D53DA4}" name="Quantity Sold">
      <calculatedColumnFormula>'Raw Data'!D2</calculatedColumnFormula>
    </tableColumn>
    <tableColumn id="5" xr3:uid="{53E3A597-B831-4A98-92FC-757435AD8713}" name="Item CM">
      <calculatedColumnFormula>B1-C1</calculatedColumnFormula>
    </tableColumn>
    <tableColumn id="6" xr3:uid="{6A4C4AF7-D20A-4EA4-A5D0-CA91EBF46121}" name="Item Pop %">
      <calculatedColumnFormula>(D2*100)/SUM($D$2:$D$9)</calculatedColumnFormula>
    </tableColumn>
    <tableColumn id="7" xr3:uid="{441D6E58-1A26-4EEC-A928-596A9C985268}" name="Quadrant Label">
      <calculatedColumnFormula>IF(AND(E2&gt;=$I$2, F2&gt;=$I$3), "STAR", IF(AND(E2&lt;$I$2, F2&gt;=$I$3), "PLOWHORSE", IF(AND(E2&gt;=$I$2, F2&lt;$I$3), "PUZZLE", "DOG")))</calculatedColumnFormula>
    </tableColumn>
    <tableColumn id="8" xr3:uid="{017A5D83-09D0-42B3-962D-EA00BB36658F}" name="Column1"/>
    <tableColumn id="9" xr3:uid="{F1F5832B-810A-42D5-9BDF-1EC09A46C1AD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9934-8E3C-4820-B33C-1FCC376427E3}">
  <dimension ref="A1:D9"/>
  <sheetViews>
    <sheetView workbookViewId="0">
      <selection activeCell="D16" sqref="D16"/>
    </sheetView>
  </sheetViews>
  <sheetFormatPr defaultRowHeight="14.4" x14ac:dyDescent="0.3"/>
  <cols>
    <col min="1" max="1" width="12.109375" customWidth="1"/>
    <col min="2" max="2" width="13.21875" customWidth="1"/>
    <col min="3" max="3" width="18.33203125" customWidth="1"/>
    <col min="4" max="4" width="14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15</v>
      </c>
      <c r="C2">
        <v>4.5</v>
      </c>
      <c r="D2">
        <v>120</v>
      </c>
    </row>
    <row r="3" spans="1:4" x14ac:dyDescent="0.3">
      <c r="A3" t="s">
        <v>5</v>
      </c>
      <c r="B3">
        <v>5</v>
      </c>
      <c r="C3">
        <v>1</v>
      </c>
      <c r="D3">
        <v>110</v>
      </c>
    </row>
    <row r="4" spans="1:4" x14ac:dyDescent="0.3">
      <c r="A4" t="s">
        <v>6</v>
      </c>
      <c r="B4">
        <v>32</v>
      </c>
      <c r="C4">
        <v>18</v>
      </c>
      <c r="D4">
        <v>40</v>
      </c>
    </row>
    <row r="5" spans="1:4" x14ac:dyDescent="0.3">
      <c r="A5" t="s">
        <v>7</v>
      </c>
      <c r="B5">
        <v>3</v>
      </c>
      <c r="C5">
        <v>0.25</v>
      </c>
      <c r="D5">
        <v>150</v>
      </c>
    </row>
    <row r="6" spans="1:4" x14ac:dyDescent="0.3">
      <c r="A6" t="s">
        <v>8</v>
      </c>
      <c r="B6">
        <v>6</v>
      </c>
      <c r="C6">
        <v>2.5</v>
      </c>
      <c r="D6">
        <v>30</v>
      </c>
    </row>
    <row r="7" spans="1:4" x14ac:dyDescent="0.3">
      <c r="A7" t="s">
        <v>9</v>
      </c>
      <c r="B7">
        <v>45</v>
      </c>
      <c r="C7">
        <v>22</v>
      </c>
      <c r="D7">
        <v>50</v>
      </c>
    </row>
    <row r="8" spans="1:4" x14ac:dyDescent="0.3">
      <c r="A8" t="s">
        <v>10</v>
      </c>
      <c r="B8">
        <v>14</v>
      </c>
      <c r="C8">
        <v>5</v>
      </c>
      <c r="D8">
        <v>70</v>
      </c>
    </row>
    <row r="9" spans="1:4" x14ac:dyDescent="0.3">
      <c r="A9" t="s">
        <v>11</v>
      </c>
      <c r="B9">
        <v>7</v>
      </c>
      <c r="C9">
        <v>1.5</v>
      </c>
      <c r="D9">
        <v>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6599-7EB5-4BD5-B902-09AA7BB258DC}">
  <dimension ref="A1:I14"/>
  <sheetViews>
    <sheetView tabSelected="1" zoomScale="80" zoomScaleNormal="80" workbookViewId="0">
      <selection activeCell="B14" sqref="B14"/>
    </sheetView>
  </sheetViews>
  <sheetFormatPr defaultRowHeight="14.4" x14ac:dyDescent="0.3"/>
  <cols>
    <col min="1" max="1" width="12.109375" customWidth="1"/>
    <col min="2" max="2" width="13.21875" customWidth="1"/>
    <col min="3" max="3" width="18.33203125" customWidth="1"/>
    <col min="4" max="4" width="14.109375" customWidth="1"/>
    <col min="5" max="5" width="9.77734375" customWidth="1"/>
    <col min="6" max="6" width="12.21875" customWidth="1"/>
    <col min="7" max="7" width="15.5546875" customWidth="1"/>
    <col min="8" max="9" width="10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17</v>
      </c>
      <c r="I1" t="s">
        <v>18</v>
      </c>
    </row>
    <row r="2" spans="1:9" x14ac:dyDescent="0.3">
      <c r="A2" t="str">
        <f>'Raw Data'!A2</f>
        <v>Burger</v>
      </c>
      <c r="B2">
        <f>'Raw Data'!B2</f>
        <v>15</v>
      </c>
      <c r="C2">
        <f>'Raw Data'!C2</f>
        <v>4.5</v>
      </c>
      <c r="D2">
        <f>'Raw Data'!D2</f>
        <v>120</v>
      </c>
      <c r="E2">
        <f>B2-C2</f>
        <v>10.5</v>
      </c>
      <c r="F2">
        <f>(D2*100)/SUM($D$2:$D$9)</f>
        <v>18.320610687022899</v>
      </c>
      <c r="G2" t="str">
        <f>IF(AND(E2&gt;=$I$2, F2&gt;=$I$3), "STAR", IF(AND(E2&lt;$I$2, F2&gt;=$I$3), "PLOWHORSE", IF(AND(E2&gt;=$I$2, F2&lt;$I$3), "PUZZLE", "DOG")))</f>
        <v>STAR</v>
      </c>
      <c r="H2" t="s">
        <v>15</v>
      </c>
      <c r="I2">
        <f>AVERAGE(E2:E9)</f>
        <v>9.65625</v>
      </c>
    </row>
    <row r="3" spans="1:9" x14ac:dyDescent="0.3">
      <c r="A3" t="str">
        <f>'Raw Data'!A3</f>
        <v>Fries</v>
      </c>
      <c r="B3">
        <f>'Raw Data'!B3</f>
        <v>5</v>
      </c>
      <c r="C3">
        <f>'Raw Data'!C3</f>
        <v>1</v>
      </c>
      <c r="D3">
        <f>'Raw Data'!D3</f>
        <v>110</v>
      </c>
      <c r="E3">
        <f>B2-C2</f>
        <v>10.5</v>
      </c>
      <c r="F3">
        <f>(D3*100)/SUM($D$2:$D$9)</f>
        <v>16.793893129770993</v>
      </c>
      <c r="G3" t="str">
        <f>IF(AND(E3&gt;=$I$2, F3&gt;=$I$3), "STAR", IF(AND(E3&lt;$I$2, F3&gt;=$I$3), "PLOWHORSE", IF(AND(E3&gt;=$I$2, F3&lt;$I$3), "PUZZLE", "DOG")))</f>
        <v>STAR</v>
      </c>
      <c r="H3" t="s">
        <v>16</v>
      </c>
      <c r="I3">
        <f>AVERAGE(F2:F9)</f>
        <v>12.5</v>
      </c>
    </row>
    <row r="4" spans="1:9" x14ac:dyDescent="0.3">
      <c r="A4" t="str">
        <f>'Raw Data'!A5</f>
        <v>Soda</v>
      </c>
      <c r="B4">
        <f>'Raw Data'!B5</f>
        <v>3</v>
      </c>
      <c r="C4">
        <f>'Raw Data'!C5</f>
        <v>0.25</v>
      </c>
      <c r="D4">
        <f>'Raw Data'!D5</f>
        <v>150</v>
      </c>
      <c r="E4">
        <f>B5-C5</f>
        <v>14</v>
      </c>
      <c r="F4">
        <f>(D4*100)/SUM($D$2:$D$9)</f>
        <v>22.900763358778626</v>
      </c>
      <c r="G4" t="str">
        <f>IF(AND(E4&gt;=$I$2, F4&gt;=$I$3), "STAR", IF(AND(E4&lt;$I$2, F4&gt;=$I$3), "PLOWHORSE", IF(AND(E4&gt;=$I$2, F4&lt;$I$3), "PUZZLE", "DOG")))</f>
        <v>STAR</v>
      </c>
    </row>
    <row r="5" spans="1:9" x14ac:dyDescent="0.3">
      <c r="A5" t="str">
        <f>'Raw Data'!A4</f>
        <v>Lobster Roll</v>
      </c>
      <c r="B5">
        <f>'Raw Data'!B4</f>
        <v>32</v>
      </c>
      <c r="C5">
        <f>'Raw Data'!C4</f>
        <v>18</v>
      </c>
      <c r="D5">
        <f>'Raw Data'!D4</f>
        <v>40</v>
      </c>
      <c r="E5">
        <f>B3-C3</f>
        <v>4</v>
      </c>
      <c r="F5">
        <f>(D5*100)/SUM($D$2:$D$9)</f>
        <v>6.106870229007634</v>
      </c>
      <c r="G5" t="str">
        <f>IF(AND(E5&gt;=$I$2, F5&gt;=$I$3), "STAR", IF(AND(E5&lt;$I$2, F5&gt;=$I$3), "PLOWHORSE", IF(AND(E5&gt;=$I$2, F5&lt;$I$3), "PUZZLE", "DOG")))</f>
        <v>DOG</v>
      </c>
    </row>
    <row r="6" spans="1:9" x14ac:dyDescent="0.3">
      <c r="A6" t="str">
        <f>'Raw Data'!A6</f>
        <v>Side Salad</v>
      </c>
      <c r="B6">
        <f>'Raw Data'!B6</f>
        <v>6</v>
      </c>
      <c r="C6">
        <f>'Raw Data'!C6</f>
        <v>2.5</v>
      </c>
      <c r="D6">
        <f>'Raw Data'!D6</f>
        <v>30</v>
      </c>
      <c r="E6">
        <f>B4-C4</f>
        <v>2.75</v>
      </c>
      <c r="F6">
        <f>(D6*100)/SUM($D$2:$D$9)</f>
        <v>4.5801526717557248</v>
      </c>
      <c r="G6" t="str">
        <f>IF(AND(E6&gt;=$I$2, F6&gt;=$I$3), "STAR", IF(AND(E6&lt;$I$2, F6&gt;=$I$3), "PLOWHORSE", IF(AND(E6&gt;=$I$2, F6&lt;$I$3), "PUZZLE", "DOG")))</f>
        <v>DOG</v>
      </c>
    </row>
    <row r="7" spans="1:9" x14ac:dyDescent="0.3">
      <c r="A7" t="str">
        <f>'Raw Data'!A7</f>
        <v>Filet Mignon</v>
      </c>
      <c r="B7">
        <f>'Raw Data'!B7</f>
        <v>45</v>
      </c>
      <c r="C7">
        <f>'Raw Data'!C7</f>
        <v>22</v>
      </c>
      <c r="D7">
        <f>'Raw Data'!D7</f>
        <v>50</v>
      </c>
      <c r="E7">
        <f>B6-C6</f>
        <v>3.5</v>
      </c>
      <c r="F7">
        <f>(D7*100)/SUM($D$2:$D$9)</f>
        <v>7.6335877862595423</v>
      </c>
      <c r="G7" t="str">
        <f>IF(AND(E7&gt;=$I$2, F7&gt;=$I$3), "STAR", IF(AND(E7&lt;$I$2, F7&gt;=$I$3), "PLOWHORSE", IF(AND(E7&gt;=$I$2, F7&lt;$I$3), "PUZZLE", "DOG")))</f>
        <v>DOG</v>
      </c>
    </row>
    <row r="8" spans="1:9" x14ac:dyDescent="0.3">
      <c r="A8" t="str">
        <f>'Raw Data'!A8</f>
        <v>Fish Tacos</v>
      </c>
      <c r="B8">
        <f>'Raw Data'!B8</f>
        <v>14</v>
      </c>
      <c r="C8">
        <f>'Raw Data'!C8</f>
        <v>5</v>
      </c>
      <c r="D8">
        <f>'Raw Data'!D8</f>
        <v>70</v>
      </c>
      <c r="E8">
        <f>B7-C7</f>
        <v>23</v>
      </c>
      <c r="F8">
        <f>(D8*100)/SUM($D$2:$D$9)</f>
        <v>10.687022900763358</v>
      </c>
      <c r="G8" t="str">
        <f>IF(AND(E8&gt;=$I$2, F8&gt;=$I$3), "STAR", IF(AND(E8&lt;$I$2, F8&gt;=$I$3), "PLOWHORSE", IF(AND(E8&gt;=$I$2, F8&lt;$I$3), "PUZZLE", "DOG")))</f>
        <v>PUZZLE</v>
      </c>
    </row>
    <row r="9" spans="1:9" x14ac:dyDescent="0.3">
      <c r="A9" t="str">
        <f>'Raw Data'!A9</f>
        <v>Brownie</v>
      </c>
      <c r="B9">
        <f>'Raw Data'!B9</f>
        <v>7</v>
      </c>
      <c r="C9">
        <f>'Raw Data'!C9</f>
        <v>1.5</v>
      </c>
      <c r="D9">
        <f>'Raw Data'!D9</f>
        <v>85</v>
      </c>
      <c r="E9">
        <f>B8-C8</f>
        <v>9</v>
      </c>
      <c r="F9">
        <f>(D9*100)/SUM($D$2:$D$9)</f>
        <v>12.977099236641221</v>
      </c>
      <c r="G9" t="str">
        <f>IF(AND(E9&gt;=$I$2, F9&gt;=$I$3), "STAR", IF(AND(E9&lt;$I$2, F9&gt;=$I$3), "PLOWHORSE", IF(AND(E9&gt;=$I$2, F9&lt;$I$3), "PUZZLE", "DOG")))</f>
        <v>PLOWHORSE</v>
      </c>
    </row>
    <row r="11" spans="1:9" x14ac:dyDescent="0.3">
      <c r="A11" t="s">
        <v>19</v>
      </c>
      <c r="B11">
        <f>SUM(D:D)</f>
        <v>655</v>
      </c>
    </row>
    <row r="12" spans="1:9" x14ac:dyDescent="0.3">
      <c r="A12" t="s">
        <v>20</v>
      </c>
      <c r="B12">
        <f>SUMPRODUCT(D2:D9, B2:B9)</f>
        <v>8085</v>
      </c>
    </row>
    <row r="13" spans="1:9" x14ac:dyDescent="0.3">
      <c r="A13" t="s">
        <v>21</v>
      </c>
      <c r="B13">
        <f>SUMPRODUCT(D2:D9, C2:C9)</f>
        <v>3060</v>
      </c>
    </row>
    <row r="14" spans="1:9" x14ac:dyDescent="0.3">
      <c r="A14" t="s">
        <v>22</v>
      </c>
      <c r="B14" s="1">
        <f>B13/B12</f>
        <v>0.3784786641929499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Calculated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Harrell</dc:creator>
  <cp:lastModifiedBy>Daniel Harrell</cp:lastModifiedBy>
  <dcterms:created xsi:type="dcterms:W3CDTF">2025-12-29T07:37:46Z</dcterms:created>
  <dcterms:modified xsi:type="dcterms:W3CDTF">2025-12-29T15:44:15Z</dcterms:modified>
</cp:coreProperties>
</file>