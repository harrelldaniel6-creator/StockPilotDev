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ockPilotSafe\Excel Files\"/>
    </mc:Choice>
  </mc:AlternateContent>
  <xr:revisionPtr revIDLastSave="0" documentId="13_ncr:1_{D2735E0E-537E-4DAF-A9DC-4AB300E0F60B}" xr6:coauthVersionLast="47" xr6:coauthVersionMax="47" xr10:uidLastSave="{00000000-0000-0000-0000-000000000000}"/>
  <bookViews>
    <workbookView xWindow="-108" yWindow="-108" windowWidth="23256" windowHeight="12456" xr2:uid="{C34FF484-3BA8-4778-BDEE-45311F218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H25" i="1" s="1"/>
  <c r="I25" i="1" s="1"/>
  <c r="G24" i="1"/>
  <c r="H24" i="1" s="1"/>
  <c r="I24" i="1" s="1"/>
  <c r="G23" i="1"/>
  <c r="H23" i="1" s="1"/>
  <c r="I23" i="1" s="1"/>
  <c r="G22" i="1"/>
  <c r="H22" i="1" s="1"/>
  <c r="I22" i="1" s="1"/>
  <c r="G21" i="1"/>
  <c r="H21" i="1" s="1"/>
  <c r="I21" i="1" s="1"/>
  <c r="G20" i="1"/>
  <c r="H20" i="1" s="1"/>
  <c r="I20" i="1" s="1"/>
  <c r="G19" i="1"/>
  <c r="H19" i="1" s="1"/>
  <c r="I19" i="1" s="1"/>
  <c r="G18" i="1"/>
  <c r="H18" i="1" s="1"/>
  <c r="I18" i="1" s="1"/>
  <c r="G17" i="1"/>
  <c r="H17" i="1" s="1"/>
  <c r="I17" i="1" s="1"/>
  <c r="G16" i="1"/>
  <c r="H16" i="1" s="1"/>
  <c r="I16" i="1" s="1"/>
  <c r="G15" i="1"/>
  <c r="H15" i="1" s="1"/>
  <c r="I15" i="1" s="1"/>
  <c r="G14" i="1"/>
  <c r="H14" i="1" s="1"/>
  <c r="I14" i="1" s="1"/>
  <c r="G13" i="1"/>
  <c r="H13" i="1" s="1"/>
  <c r="I13" i="1" s="1"/>
  <c r="G12" i="1"/>
  <c r="H12" i="1" s="1"/>
  <c r="I12" i="1" s="1"/>
  <c r="G11" i="1"/>
  <c r="H11" i="1" s="1"/>
  <c r="I11" i="1" s="1"/>
  <c r="G10" i="1"/>
  <c r="H10" i="1" s="1"/>
  <c r="I10" i="1" s="1"/>
  <c r="G3" i="1"/>
  <c r="H3" i="1" s="1"/>
  <c r="I3" i="1" s="1"/>
  <c r="G4" i="1"/>
  <c r="H4" i="1" s="1"/>
  <c r="I4" i="1" s="1"/>
  <c r="G5" i="1"/>
  <c r="H5" i="1" s="1"/>
  <c r="I5" i="1" s="1"/>
  <c r="G6" i="1"/>
  <c r="H6" i="1" s="1"/>
  <c r="I6" i="1" s="1"/>
  <c r="G7" i="1"/>
  <c r="H7" i="1" s="1"/>
  <c r="I7" i="1" s="1"/>
  <c r="G8" i="1"/>
  <c r="H8" i="1" s="1"/>
  <c r="I8" i="1" s="1"/>
  <c r="G9" i="1"/>
  <c r="H9" i="1" s="1"/>
  <c r="I9" i="1" s="1"/>
  <c r="G2" i="1"/>
  <c r="H2" i="1" s="1"/>
  <c r="I2" i="1" s="1"/>
</calcChain>
</file>

<file path=xl/sharedStrings.xml><?xml version="1.0" encoding="utf-8"?>
<sst xmlns="http://schemas.openxmlformats.org/spreadsheetml/2006/main" count="57" uniqueCount="24">
  <si>
    <t>Date</t>
  </si>
  <si>
    <t>Employee</t>
  </si>
  <si>
    <t>Role</t>
  </si>
  <si>
    <t>Start Time</t>
  </si>
  <si>
    <t>End Time</t>
  </si>
  <si>
    <t>Hourly Rate</t>
  </si>
  <si>
    <t>Total Hours</t>
  </si>
  <si>
    <t>Gross Wages</t>
  </si>
  <si>
    <t>Burdened Cost</t>
  </si>
  <si>
    <t>EMP009</t>
  </si>
  <si>
    <t>Manager</t>
  </si>
  <si>
    <t>EMP010</t>
  </si>
  <si>
    <t>Prep Cook</t>
  </si>
  <si>
    <t>EMP011</t>
  </si>
  <si>
    <t>Server</t>
  </si>
  <si>
    <t>EMP012</t>
  </si>
  <si>
    <t>Dishwasher</t>
  </si>
  <si>
    <t>EMP001</t>
  </si>
  <si>
    <t>Server (FOH)</t>
  </si>
  <si>
    <t>EMP002</t>
  </si>
  <si>
    <t>Line Cook (BOH)</t>
  </si>
  <si>
    <t>EMP004</t>
  </si>
  <si>
    <t>Bartender</t>
  </si>
  <si>
    <t>EMP005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</si>
</sst>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8" fontId="0" fillId="0" borderId="0" xfId="0" applyNumberFormat="1"/>
    <xf numFmtId="8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2" formatCode="&quot;$&quot;#,##0.00_);[Red]\(&quot;$&quot;#,##0.00\)"/>
    </dxf>
    <dxf>
      <numFmt numFmtId="23" formatCode="h:mm\ AM/PM"/>
    </dxf>
    <dxf>
      <numFmt numFmtId="23" formatCode="h:mm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8CFA58-E053-40D8-827A-EA8BF8CD44F3}" name="Table1" displayName="Table1" ref="A1:I25" totalsRowShown="0">
  <autoFilter ref="A1:I25" xr:uid="{6E8CFA58-E053-40D8-827A-EA8BF8CD44F3}"/>
  <tableColumns count="9">
    <tableColumn id="1" xr3:uid="{05176B21-F787-4304-BB4B-231E548E2211}" name="Date" dataDxfId="5"/>
    <tableColumn id="2" xr3:uid="{A65EA857-2DC0-43B3-9DC1-9D397E0D83AA}" name="Employee"/>
    <tableColumn id="3" xr3:uid="{DC85355E-6D70-4732-8ED7-E7219B045AF8}" name="Role"/>
    <tableColumn id="4" xr3:uid="{1E009CEE-B50F-4788-9E27-15D9A35300A7}" name="Start Time" dataDxfId="4"/>
    <tableColumn id="5" xr3:uid="{2C5D3B08-A6D1-4C89-9D8E-37502E90C57A}" name="End Time" dataDxfId="3"/>
    <tableColumn id="6" xr3:uid="{22BB0D0C-40F2-4D8A-9DCE-456ABEEC6752}" name="Hourly Rate" dataDxfId="2"/>
    <tableColumn id="7" xr3:uid="{C920061D-0E8D-4487-8FF7-37BD4D124272}" name="Total Hours">
      <calculatedColumnFormula>(E2-D2)*24</calculatedColumnFormula>
    </tableColumn>
    <tableColumn id="8" xr3:uid="{E1EBE5BD-9876-4631-BE90-779389FD69FC}" name="Gross Wages" dataDxfId="1" dataCellStyle="Currency">
      <calculatedColumnFormula>F2*G2</calculatedColumnFormula>
    </tableColumn>
    <tableColumn id="9" xr3:uid="{7AF178F8-FBF0-4FD4-A2AA-F7DED90A29ED}" name="Burdened Cost" dataDxfId="0" dataCellStyle="Currency">
      <calculatedColumnFormula>H2*1.2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E013-8CB6-49D8-8630-FD01F0DE4B1F}">
  <dimension ref="A1:I25"/>
  <sheetViews>
    <sheetView tabSelected="1" workbookViewId="0">
      <selection activeCell="J19" sqref="J19"/>
    </sheetView>
  </sheetViews>
  <sheetFormatPr defaultRowHeight="14.4" x14ac:dyDescent="0.3"/>
  <cols>
    <col min="1" max="1" width="10.33203125" bestFit="1" customWidth="1"/>
    <col min="2" max="2" width="11.109375" customWidth="1"/>
    <col min="4" max="4" width="11.44140625" customWidth="1"/>
    <col min="5" max="5" width="10.44140625" customWidth="1"/>
    <col min="6" max="6" width="12.44140625" customWidth="1"/>
    <col min="7" max="7" width="12.21875" customWidth="1"/>
    <col min="8" max="8" width="13.44140625" customWidth="1"/>
    <col min="9" max="9" width="1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46020</v>
      </c>
      <c r="B2" t="s">
        <v>9</v>
      </c>
      <c r="C2" t="s">
        <v>10</v>
      </c>
      <c r="D2" s="2">
        <v>0.375</v>
      </c>
      <c r="E2" s="2">
        <v>0.70833333333333337</v>
      </c>
      <c r="F2" s="3">
        <v>30</v>
      </c>
      <c r="G2">
        <f>(E2-D2)*24</f>
        <v>8</v>
      </c>
      <c r="H2" s="4">
        <f>F2*G2</f>
        <v>240</v>
      </c>
      <c r="I2" s="4">
        <f>H2*1.2</f>
        <v>288</v>
      </c>
    </row>
    <row r="3" spans="1:9" x14ac:dyDescent="0.3">
      <c r="A3" s="1">
        <v>46020</v>
      </c>
      <c r="B3" t="s">
        <v>11</v>
      </c>
      <c r="C3" t="s">
        <v>12</v>
      </c>
      <c r="D3" s="2">
        <v>0.375</v>
      </c>
      <c r="E3" s="2">
        <v>0.625</v>
      </c>
      <c r="F3" s="3">
        <v>16</v>
      </c>
      <c r="G3">
        <f t="shared" ref="G3:G10" si="0">(E3-D3)*24</f>
        <v>6</v>
      </c>
      <c r="H3" s="4">
        <f t="shared" ref="H3:H10" si="1">F3*G3</f>
        <v>96</v>
      </c>
      <c r="I3" s="4">
        <f t="shared" ref="I3:I10" si="2">H3*1.2</f>
        <v>115.19999999999999</v>
      </c>
    </row>
    <row r="4" spans="1:9" x14ac:dyDescent="0.3">
      <c r="A4" s="1">
        <v>46020</v>
      </c>
      <c r="B4" t="s">
        <v>13</v>
      </c>
      <c r="C4" t="s">
        <v>14</v>
      </c>
      <c r="D4" s="2">
        <v>0.45833333333333331</v>
      </c>
      <c r="E4" s="2">
        <v>0.625</v>
      </c>
      <c r="F4" s="3">
        <v>12</v>
      </c>
      <c r="G4">
        <f t="shared" si="0"/>
        <v>4</v>
      </c>
      <c r="H4" s="4">
        <f t="shared" si="1"/>
        <v>48</v>
      </c>
      <c r="I4" s="4">
        <f t="shared" si="2"/>
        <v>57.599999999999994</v>
      </c>
    </row>
    <row r="5" spans="1:9" x14ac:dyDescent="0.3">
      <c r="A5" s="1">
        <v>46020</v>
      </c>
      <c r="B5" t="s">
        <v>15</v>
      </c>
      <c r="C5" t="s">
        <v>16</v>
      </c>
      <c r="D5" s="2">
        <v>0.625</v>
      </c>
      <c r="E5" s="2">
        <v>0.875</v>
      </c>
      <c r="F5" s="3">
        <v>15.5</v>
      </c>
      <c r="G5">
        <f t="shared" si="0"/>
        <v>6</v>
      </c>
      <c r="H5" s="4">
        <f t="shared" si="1"/>
        <v>93</v>
      </c>
      <c r="I5" s="4">
        <f t="shared" si="2"/>
        <v>111.6</v>
      </c>
    </row>
    <row r="6" spans="1:9" x14ac:dyDescent="0.3">
      <c r="A6" s="1">
        <v>46020</v>
      </c>
      <c r="B6" t="s">
        <v>17</v>
      </c>
      <c r="C6" t="s">
        <v>18</v>
      </c>
      <c r="D6" s="2">
        <v>0.66666666666666663</v>
      </c>
      <c r="E6" s="2">
        <v>0.91666666666666663</v>
      </c>
      <c r="F6" s="3">
        <v>15</v>
      </c>
      <c r="G6">
        <f t="shared" si="0"/>
        <v>6</v>
      </c>
      <c r="H6" s="4">
        <f t="shared" si="1"/>
        <v>90</v>
      </c>
      <c r="I6" s="4">
        <f t="shared" si="2"/>
        <v>108</v>
      </c>
    </row>
    <row r="7" spans="1:9" x14ac:dyDescent="0.3">
      <c r="A7" s="1">
        <v>46020</v>
      </c>
      <c r="B7" t="s">
        <v>19</v>
      </c>
      <c r="C7" t="s">
        <v>20</v>
      </c>
      <c r="D7" s="2">
        <v>0.625</v>
      </c>
      <c r="E7" s="2">
        <v>0.95833333333333337</v>
      </c>
      <c r="F7" s="3">
        <v>22</v>
      </c>
      <c r="G7">
        <f t="shared" si="0"/>
        <v>8</v>
      </c>
      <c r="H7" s="4">
        <f t="shared" si="1"/>
        <v>176</v>
      </c>
      <c r="I7" s="4">
        <f t="shared" si="2"/>
        <v>211.2</v>
      </c>
    </row>
    <row r="8" spans="1:9" x14ac:dyDescent="0.3">
      <c r="A8" s="1">
        <v>46020</v>
      </c>
      <c r="B8" t="s">
        <v>21</v>
      </c>
      <c r="C8" t="s">
        <v>22</v>
      </c>
      <c r="D8" s="2">
        <v>0.70833333333333337</v>
      </c>
      <c r="E8" s="2">
        <v>0.99930555555555556</v>
      </c>
      <c r="F8" s="3">
        <v>12</v>
      </c>
      <c r="G8">
        <f t="shared" si="0"/>
        <v>6.9833333333333325</v>
      </c>
      <c r="H8" s="4">
        <f t="shared" si="1"/>
        <v>83.799999999999983</v>
      </c>
      <c r="I8" s="4">
        <f t="shared" si="2"/>
        <v>100.55999999999997</v>
      </c>
    </row>
    <row r="9" spans="1:9" x14ac:dyDescent="0.3">
      <c r="A9" s="1">
        <v>46020</v>
      </c>
      <c r="B9" t="s">
        <v>23</v>
      </c>
      <c r="C9" t="s">
        <v>16</v>
      </c>
      <c r="D9" s="2">
        <v>0.6875</v>
      </c>
      <c r="E9" s="2">
        <v>0.97916666666666663</v>
      </c>
      <c r="F9" s="3">
        <v>15.5</v>
      </c>
      <c r="G9">
        <f t="shared" si="0"/>
        <v>6.9999999999999991</v>
      </c>
      <c r="H9" s="4">
        <f t="shared" si="1"/>
        <v>108.49999999999999</v>
      </c>
      <c r="I9" s="4">
        <f t="shared" si="2"/>
        <v>130.19999999999999</v>
      </c>
    </row>
    <row r="10" spans="1:9" x14ac:dyDescent="0.3">
      <c r="A10" s="1">
        <v>46019</v>
      </c>
      <c r="B10" t="s">
        <v>9</v>
      </c>
      <c r="C10" t="s">
        <v>10</v>
      </c>
      <c r="D10" s="2">
        <v>0.375</v>
      </c>
      <c r="E10" s="2">
        <v>0.70833333333333337</v>
      </c>
      <c r="F10" s="3">
        <v>30</v>
      </c>
      <c r="G10">
        <f t="shared" si="0"/>
        <v>8</v>
      </c>
      <c r="H10" s="4">
        <f t="shared" si="1"/>
        <v>240</v>
      </c>
      <c r="I10" s="4">
        <f t="shared" si="2"/>
        <v>288</v>
      </c>
    </row>
    <row r="11" spans="1:9" x14ac:dyDescent="0.3">
      <c r="A11" s="1">
        <v>46019</v>
      </c>
      <c r="B11" t="s">
        <v>11</v>
      </c>
      <c r="C11" t="s">
        <v>12</v>
      </c>
      <c r="D11" s="2">
        <v>0.375</v>
      </c>
      <c r="E11" s="2">
        <v>0.625</v>
      </c>
      <c r="F11" s="3">
        <v>16</v>
      </c>
      <c r="G11">
        <f t="shared" ref="G11:G18" si="3">(E11-D11)*24</f>
        <v>6</v>
      </c>
      <c r="H11" s="4">
        <f t="shared" ref="H11:H18" si="4">F11*G11</f>
        <v>96</v>
      </c>
      <c r="I11" s="4">
        <f t="shared" ref="I11:I18" si="5">H11*1.2</f>
        <v>115.19999999999999</v>
      </c>
    </row>
    <row r="12" spans="1:9" x14ac:dyDescent="0.3">
      <c r="A12" s="1">
        <v>46019</v>
      </c>
      <c r="B12" t="s">
        <v>13</v>
      </c>
      <c r="C12" t="s">
        <v>14</v>
      </c>
      <c r="D12" s="2">
        <v>0.45833333333333331</v>
      </c>
      <c r="E12" s="2">
        <v>0.625</v>
      </c>
      <c r="F12" s="3">
        <v>12</v>
      </c>
      <c r="G12">
        <f t="shared" si="3"/>
        <v>4</v>
      </c>
      <c r="H12" s="4">
        <f t="shared" si="4"/>
        <v>48</v>
      </c>
      <c r="I12" s="4">
        <f t="shared" si="5"/>
        <v>57.599999999999994</v>
      </c>
    </row>
    <row r="13" spans="1:9" x14ac:dyDescent="0.3">
      <c r="A13" s="1">
        <v>46019</v>
      </c>
      <c r="B13" t="s">
        <v>15</v>
      </c>
      <c r="C13" t="s">
        <v>16</v>
      </c>
      <c r="D13" s="2">
        <v>0.625</v>
      </c>
      <c r="E13" s="2">
        <v>0.875</v>
      </c>
      <c r="F13" s="3">
        <v>15.5</v>
      </c>
      <c r="G13">
        <f t="shared" si="3"/>
        <v>6</v>
      </c>
      <c r="H13" s="4">
        <f t="shared" si="4"/>
        <v>93</v>
      </c>
      <c r="I13" s="4">
        <f t="shared" si="5"/>
        <v>111.6</v>
      </c>
    </row>
    <row r="14" spans="1:9" x14ac:dyDescent="0.3">
      <c r="A14" s="1">
        <v>46019</v>
      </c>
      <c r="B14" t="s">
        <v>17</v>
      </c>
      <c r="C14" t="s">
        <v>18</v>
      </c>
      <c r="D14" s="2">
        <v>0.66666666666666663</v>
      </c>
      <c r="E14" s="2">
        <v>0.91666666666666663</v>
      </c>
      <c r="F14" s="3">
        <v>15</v>
      </c>
      <c r="G14">
        <f t="shared" si="3"/>
        <v>6</v>
      </c>
      <c r="H14" s="4">
        <f t="shared" si="4"/>
        <v>90</v>
      </c>
      <c r="I14" s="4">
        <f t="shared" si="5"/>
        <v>108</v>
      </c>
    </row>
    <row r="15" spans="1:9" x14ac:dyDescent="0.3">
      <c r="A15" s="1">
        <v>46019</v>
      </c>
      <c r="B15" t="s">
        <v>19</v>
      </c>
      <c r="C15" t="s">
        <v>20</v>
      </c>
      <c r="D15" s="2">
        <v>0.625</v>
      </c>
      <c r="E15" s="2">
        <v>0.95833333333333337</v>
      </c>
      <c r="F15" s="3">
        <v>22</v>
      </c>
      <c r="G15">
        <f t="shared" si="3"/>
        <v>8</v>
      </c>
      <c r="H15" s="4">
        <f t="shared" si="4"/>
        <v>176</v>
      </c>
      <c r="I15" s="4">
        <f t="shared" si="5"/>
        <v>211.2</v>
      </c>
    </row>
    <row r="16" spans="1:9" x14ac:dyDescent="0.3">
      <c r="A16" s="1">
        <v>46019</v>
      </c>
      <c r="B16" t="s">
        <v>21</v>
      </c>
      <c r="C16" t="s">
        <v>22</v>
      </c>
      <c r="D16" s="2">
        <v>0.70833333333333337</v>
      </c>
      <c r="E16" s="2">
        <v>0.99930555555555556</v>
      </c>
      <c r="F16" s="3">
        <v>12</v>
      </c>
      <c r="G16">
        <f t="shared" si="3"/>
        <v>6.9833333333333325</v>
      </c>
      <c r="H16" s="4">
        <f t="shared" si="4"/>
        <v>83.799999999999983</v>
      </c>
      <c r="I16" s="4">
        <f t="shared" si="5"/>
        <v>100.55999999999997</v>
      </c>
    </row>
    <row r="17" spans="1:9" x14ac:dyDescent="0.3">
      <c r="A17" s="1">
        <v>46019</v>
      </c>
      <c r="B17" t="s">
        <v>23</v>
      </c>
      <c r="C17" t="s">
        <v>16</v>
      </c>
      <c r="D17" s="2">
        <v>0.6875</v>
      </c>
      <c r="E17" s="2">
        <v>0.97916666666666663</v>
      </c>
      <c r="F17" s="3">
        <v>15.5</v>
      </c>
      <c r="G17">
        <f t="shared" si="3"/>
        <v>6.9999999999999991</v>
      </c>
      <c r="H17" s="4">
        <f t="shared" si="4"/>
        <v>108.49999999999999</v>
      </c>
      <c r="I17" s="4">
        <f t="shared" si="5"/>
        <v>130.19999999999999</v>
      </c>
    </row>
    <row r="18" spans="1:9" x14ac:dyDescent="0.3">
      <c r="A18" s="1">
        <v>46021</v>
      </c>
      <c r="B18" t="s">
        <v>9</v>
      </c>
      <c r="C18" t="s">
        <v>10</v>
      </c>
      <c r="D18" s="2">
        <v>0.375</v>
      </c>
      <c r="E18" s="2">
        <v>0.70833333333333337</v>
      </c>
      <c r="F18" s="3">
        <v>30</v>
      </c>
      <c r="G18">
        <f t="shared" si="3"/>
        <v>8</v>
      </c>
      <c r="H18" s="4">
        <f t="shared" si="4"/>
        <v>240</v>
      </c>
      <c r="I18" s="4">
        <f t="shared" si="5"/>
        <v>288</v>
      </c>
    </row>
    <row r="19" spans="1:9" x14ac:dyDescent="0.3">
      <c r="A19" s="1">
        <v>46021</v>
      </c>
      <c r="B19" t="s">
        <v>11</v>
      </c>
      <c r="C19" t="s">
        <v>12</v>
      </c>
      <c r="D19" s="2">
        <v>0.375</v>
      </c>
      <c r="E19" s="2">
        <v>0.625</v>
      </c>
      <c r="F19" s="3">
        <v>16</v>
      </c>
      <c r="G19">
        <f t="shared" ref="G19:G25" si="6">(E19-D19)*24</f>
        <v>6</v>
      </c>
      <c r="H19" s="4">
        <f t="shared" ref="H19:H25" si="7">F19*G19</f>
        <v>96</v>
      </c>
      <c r="I19" s="4">
        <f t="shared" ref="I19:I25" si="8">H19*1.2</f>
        <v>115.19999999999999</v>
      </c>
    </row>
    <row r="20" spans="1:9" x14ac:dyDescent="0.3">
      <c r="A20" s="1">
        <v>46021</v>
      </c>
      <c r="B20" t="s">
        <v>13</v>
      </c>
      <c r="C20" t="s">
        <v>14</v>
      </c>
      <c r="D20" s="2">
        <v>0.45833333333333331</v>
      </c>
      <c r="E20" s="2">
        <v>0.625</v>
      </c>
      <c r="F20" s="3">
        <v>12</v>
      </c>
      <c r="G20">
        <f t="shared" si="6"/>
        <v>4</v>
      </c>
      <c r="H20" s="4">
        <f t="shared" si="7"/>
        <v>48</v>
      </c>
      <c r="I20" s="4">
        <f t="shared" si="8"/>
        <v>57.599999999999994</v>
      </c>
    </row>
    <row r="21" spans="1:9" x14ac:dyDescent="0.3">
      <c r="A21" s="1">
        <v>46021</v>
      </c>
      <c r="B21" t="s">
        <v>15</v>
      </c>
      <c r="C21" t="s">
        <v>16</v>
      </c>
      <c r="D21" s="2">
        <v>0.625</v>
      </c>
      <c r="E21" s="2">
        <v>0.875</v>
      </c>
      <c r="F21" s="3">
        <v>15.5</v>
      </c>
      <c r="G21">
        <f t="shared" si="6"/>
        <v>6</v>
      </c>
      <c r="H21" s="4">
        <f t="shared" si="7"/>
        <v>93</v>
      </c>
      <c r="I21" s="4">
        <f t="shared" si="8"/>
        <v>111.6</v>
      </c>
    </row>
    <row r="22" spans="1:9" x14ac:dyDescent="0.3">
      <c r="A22" s="1">
        <v>46021</v>
      </c>
      <c r="B22" t="s">
        <v>17</v>
      </c>
      <c r="C22" t="s">
        <v>18</v>
      </c>
      <c r="D22" s="2">
        <v>0.66666666666666663</v>
      </c>
      <c r="E22" s="2">
        <v>0.91666666666666663</v>
      </c>
      <c r="F22" s="3">
        <v>15</v>
      </c>
      <c r="G22">
        <f t="shared" si="6"/>
        <v>6</v>
      </c>
      <c r="H22" s="4">
        <f t="shared" si="7"/>
        <v>90</v>
      </c>
      <c r="I22" s="4">
        <f t="shared" si="8"/>
        <v>108</v>
      </c>
    </row>
    <row r="23" spans="1:9" x14ac:dyDescent="0.3">
      <c r="A23" s="1">
        <v>46021</v>
      </c>
      <c r="B23" t="s">
        <v>19</v>
      </c>
      <c r="C23" t="s">
        <v>20</v>
      </c>
      <c r="D23" s="2">
        <v>0.625</v>
      </c>
      <c r="E23" s="2">
        <v>0.95833333333333337</v>
      </c>
      <c r="F23" s="3">
        <v>22</v>
      </c>
      <c r="G23">
        <f t="shared" si="6"/>
        <v>8</v>
      </c>
      <c r="H23" s="4">
        <f t="shared" si="7"/>
        <v>176</v>
      </c>
      <c r="I23" s="4">
        <f t="shared" si="8"/>
        <v>211.2</v>
      </c>
    </row>
    <row r="24" spans="1:9" x14ac:dyDescent="0.3">
      <c r="A24" s="1">
        <v>46021</v>
      </c>
      <c r="B24" t="s">
        <v>21</v>
      </c>
      <c r="C24" t="s">
        <v>22</v>
      </c>
      <c r="D24" s="2">
        <v>0.70833333333333337</v>
      </c>
      <c r="E24" s="2">
        <v>0.99930555555555556</v>
      </c>
      <c r="F24" s="3">
        <v>12</v>
      </c>
      <c r="G24">
        <f t="shared" si="6"/>
        <v>6.9833333333333325</v>
      </c>
      <c r="H24" s="4">
        <f t="shared" si="7"/>
        <v>83.799999999999983</v>
      </c>
      <c r="I24" s="4">
        <f t="shared" si="8"/>
        <v>100.55999999999997</v>
      </c>
    </row>
    <row r="25" spans="1:9" x14ac:dyDescent="0.3">
      <c r="A25" s="1">
        <v>46021</v>
      </c>
      <c r="B25" t="s">
        <v>23</v>
      </c>
      <c r="C25" t="s">
        <v>16</v>
      </c>
      <c r="D25" s="2">
        <v>0.6875</v>
      </c>
      <c r="E25" s="2">
        <v>0.97916666666666663</v>
      </c>
      <c r="F25" s="3">
        <v>15.5</v>
      </c>
      <c r="G25">
        <f t="shared" si="6"/>
        <v>6.9999999999999991</v>
      </c>
      <c r="H25" s="4">
        <f t="shared" si="7"/>
        <v>108.49999999999999</v>
      </c>
      <c r="I25" s="4">
        <f t="shared" si="8"/>
        <v>130.19999999999999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Harrell</dc:creator>
  <cp:lastModifiedBy>Daniel Harrell</cp:lastModifiedBy>
  <dcterms:created xsi:type="dcterms:W3CDTF">2025-12-29T15:19:39Z</dcterms:created>
  <dcterms:modified xsi:type="dcterms:W3CDTF">2025-12-30T00:44:01Z</dcterms:modified>
</cp:coreProperties>
</file>